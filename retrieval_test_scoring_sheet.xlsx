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rieval Test v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<sst xmlns="http://schemas.openxmlformats.org/spreadsheetml/2006/main" count="150" uniqueCount="98">
  <si>
    <t xml:space="preserve">15-150 Retrieval Test — Scoring v2 (with cause layers)</t>
  </si>
  <si>
    <t xml:space="preserve">Cached v1 = your embedding run (reference). Cached v2 = re-score after the four fixes in retrieval_spike.py. Live = search+fetch arm. Fill only yellow cells (Y / P / N).</t>
  </si>
  <si>
    <t xml:space="preserve">Test</t>
  </si>
  <si>
    <t xml:space="preserve">Query</t>
  </si>
  <si>
    <t xml:space="preserve">Must-surface fact</t>
  </si>
  <si>
    <t xml:space="preserve">Cause layer</t>
  </si>
  <si>
    <t xml:space="preserve">Cached v1</t>
  </si>
  <si>
    <t xml:space="preserve">Cached v2</t>
  </si>
  <si>
    <t xml:space="preserve">Live</t>
  </si>
  <si>
    <t xml:space="preserve">Notes</t>
  </si>
  <si>
    <t xml:space="preserve">T1 Facet coverage</t>
  </si>
  <si>
    <t xml:space="preserve">Tell me about 15-150</t>
  </si>
  <si>
    <t xml:space="preserve">Workload ramps at staging/continuations/two-player games</t>
  </si>
  <si>
    <t xml:space="preserve">retrieval</t>
  </si>
  <si>
    <t xml:space="preserve">N</t>
  </si>
  <si>
    <t xml:space="preserve">wl-02 has it, edged out of top-5</t>
  </si>
  <si>
    <t xml:space="preserve">Conceptually hard, few lines ('hard on the brain')</t>
  </si>
  <si>
    <t xml:space="preserve">Y</t>
  </si>
  <si>
    <t xml:space="preserve">vs122-05</t>
  </si>
  <si>
    <t xml:space="preserve">TA/OH-driven; lecture quality varies by prof</t>
  </si>
  <si>
    <t xml:space="preserve">P</t>
  </si>
  <si>
    <t xml:space="preserve">worth-01 positive only, no Brookes contrast</t>
  </si>
  <si>
    <t xml:space="preserve">Frequently cited as favorite / fun</t>
  </si>
  <si>
    <t xml:space="preserve">worth-01</t>
  </si>
  <si>
    <t xml:space="preserve">Recursion = induction / FP changes thinking</t>
  </si>
  <si>
    <t xml:space="preserve">retrieval:granularity</t>
  </si>
  <si>
    <t xml:space="preserve">take-01 not retrieved -&gt; chunk-length dilution</t>
  </si>
  <si>
    <t xml:space="preserve">Polarized worth (Jane Street vs 'most important')</t>
  </si>
  <si>
    <t xml:space="preserve">worth-11 not retrieved</t>
  </si>
  <si>
    <t xml:space="preserve">Best-fit: good if inductive proofs come naturally</t>
  </si>
  <si>
    <t xml:space="preserve">vs122-02 not retrieved</t>
  </si>
  <si>
    <t xml:space="preserve">T2 Professor split</t>
  </si>
  <si>
    <t xml:space="preserve">Is 15-150 hard? Who to take it with?</t>
  </si>
  <si>
    <t xml:space="preserve">Erdmann positive (4.1 / 77%)</t>
  </si>
  <si>
    <t xml:space="preserve">structural:stats</t>
  </si>
  <si>
    <t xml:space="preserve">qual present; stat block not retrieved -&gt; inject via PROFESSOR_STATS</t>
  </si>
  <si>
    <t xml:space="preserve">Brookes negative (2.1 / 0%)</t>
  </si>
  <si>
    <t xml:space="preserve">one neg review present; stat block not retrieved -&gt; inject</t>
  </si>
  <si>
    <t xml:space="preserve">Explicit guidance: take spring / avoid Brookes fall</t>
  </si>
  <si>
    <t xml:space="preserve">rmp-brookes-01</t>
  </si>
  <si>
    <t xml:space="preserve">ATTRIBUTION kept distinct (pass/fail)</t>
  </si>
  <si>
    <t xml:space="preserve">meta</t>
  </si>
  <si>
    <t xml:space="preserve">PASS - Erdmann &amp; Brookes distinct, never blended</t>
  </si>
  <si>
    <t xml:space="preserve">T3 Comparison</t>
  </si>
  <si>
    <t xml:space="preserve">15-150 vs 15-122</t>
  </si>
  <si>
    <t xml:space="preserve">Direct 150-vs-122 thread retrieved</t>
  </si>
  <si>
    <t xml:space="preserve">vs122-04, vs122-01</t>
  </si>
  <si>
    <t xml:space="preserve">122 = interview-prep data structures, more typing/debug</t>
  </si>
  <si>
    <t xml:space="preserve">workload touched, framing not direct</t>
  </si>
  <si>
    <t xml:space="preserve">150 = conceptually harder, elegant short solutions</t>
  </si>
  <si>
    <t xml:space="preserve">retrieval:scoping</t>
  </si>
  <si>
    <t xml:space="preserve">vs122-03/05 edged out by 112-vs-122 chunks</t>
  </si>
  <si>
    <t xml:space="preserve">Comparable workload, different kind of effort</t>
  </si>
  <si>
    <t xml:space="preserve">wl-02 only via a 112 comparison</t>
  </si>
  <si>
    <t xml:space="preserve">T4 Co-scheduling</t>
  </si>
  <si>
    <t xml:space="preserve">Can I take 15-150 and 15-213 together?</t>
  </si>
  <si>
    <t xml:space="preserve">150+213 pairing thread retrieved</t>
  </si>
  <si>
    <t xml:space="preserve">pair-03, pair-02</t>
  </si>
  <si>
    <t xml:space="preserve">'Both cooked combos' warning surfaced</t>
  </si>
  <si>
    <t xml:space="preserve">pair-04 warns 213+210; exact pair-06 not retrieved</t>
  </si>
  <si>
    <t xml:space="preserve">Spring 150+251 vs fall 213+210 sequencing</t>
  </si>
  <si>
    <t xml:space="preserve">pair-03 verbatim</t>
  </si>
  <si>
    <t xml:space="preserve">Summer 213 pacing caveat</t>
  </si>
  <si>
    <t xml:space="preserve">pair-07 missed here (went to T1) -&gt; fixed by course_filter</t>
  </si>
  <si>
    <t xml:space="preserve">T5 Signal vs noise</t>
  </si>
  <si>
    <t xml:space="preserve">What do students take away from 15-150?</t>
  </si>
  <si>
    <t xml:space="preserve">Recursion = induction takeaway</t>
  </si>
  <si>
    <t xml:space="preserve">take-01 not retrieved despite near-verbatim overlap</t>
  </si>
  <si>
    <t xml:space="preserve">FP mindset / cleaner code takeaway</t>
  </si>
  <si>
    <t xml:space="preserve">take-05 not retrieved</t>
  </si>
  <si>
    <t xml:space="preserve">Lambda '10x faster' flame war excluded</t>
  </si>
  <si>
    <t xml:space="preserve">correctly absent from top-5</t>
  </si>
  <si>
    <t xml:space="preserve">'Touch grass' / off-topic derail excluded</t>
  </si>
  <si>
    <t xml:space="preserve">T6 Staleness</t>
  </si>
  <si>
    <t xml:space="preserve">Has 15-150 changed? recent vs old?</t>
  </si>
  <si>
    <t xml:space="preserve">Dates preserved on retrieved chunks</t>
  </si>
  <si>
    <t xml:space="preserve">all carry date metadata</t>
  </si>
  <si>
    <t xml:space="preserve">Drift signal (150 ~= old 15-212)</t>
  </si>
  <si>
    <t xml:space="preserve">worth-09 not retrieved</t>
  </si>
  <si>
    <t xml:space="preserve">Old (2021-22) vs recent (2024-26) both surfaced</t>
  </si>
  <si>
    <t xml:space="preserve">got 2024 Brookes + 2025 Erdmann, no 2021-22</t>
  </si>
  <si>
    <t xml:space="preserve">Recency weighting / decay applied</t>
  </si>
  <si>
    <t xml:space="preserve">unbuilt</t>
  </si>
  <si>
    <t xml:space="preserve">not in v1; now built in v2 (recency=True) -&gt; re-score</t>
  </si>
  <si>
    <t xml:space="preserve">SUMMARY (Cached v1)</t>
  </si>
  <si>
    <t xml:space="preserve">Countable facts (exclude meta + unbuilt)</t>
  </si>
  <si>
    <t xml:space="preserve">v1 — Y</t>
  </si>
  <si>
    <t xml:space="preserve">v1 — P</t>
  </si>
  <si>
    <t xml:space="preserve">v1 — N</t>
  </si>
  <si>
    <t xml:space="preserve">Retrieval-layer Ns (the fixable set)</t>
  </si>
  <si>
    <t xml:space="preserve">Attribution (T2) PASS?</t>
  </si>
  <si>
    <t xml:space="preserve">Cause-layer legend &amp; the fix each maps to:</t>
  </si>
  <si>
    <t xml:space="preserve">present in corpus but diluted -&gt; sentence-level chunking (FIX 1)</t>
  </si>
  <si>
    <t xml:space="preserve">terse stat blocks lose to prose -&gt; hold out &amp; inject PROFESSOR_STATS (FIX 2)</t>
  </si>
  <si>
    <t xml:space="preserve">off-topic course chunks win -&gt; course_filter before ranking (FIX 3)</t>
  </si>
  <si>
    <t xml:space="preserve">feature not implemented -&gt; recency weighting now added (FIX 4)</t>
  </si>
  <si>
    <t xml:space="preserve">generic present-not-retrieved -&gt; re-test under embeddings after fixes</t>
  </si>
  <si>
    <t xml:space="preserve">not a coverage fact (attribution pass/fail; noise-exclusion) -&gt; excluded from recall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</si>
</sst>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5.5" hidden="false" customHeight="true" outlineLevel="0" collapsed="false">
      <c r="A5" s="4" t="s">
        <v>10</v>
      </c>
      <c r="B5" s="5" t="s">
        <v>11</v>
      </c>
      <c r="C5" s="5" t="s">
        <v>12</v>
      </c>
      <c r="D5" s="6" t="s">
        <v>13</v>
      </c>
      <c r="E5" s="7" t="s">
        <v>14</v>
      </c>
      <c r="F5" s="8"/>
      <c r="G5" s="8"/>
      <c r="H5" s="9" t="s">
        <v>15</v>
      </c>
    </row>
    <row r="6" customFormat="false" ht="25.5" hidden="false" customHeight="true" outlineLevel="0" collapsed="false">
      <c r="A6" s="5"/>
      <c r="B6" s="5"/>
      <c r="C6" s="5" t="s">
        <v>16</v>
      </c>
      <c r="D6" s="6" t="s">
        <v>13</v>
      </c>
      <c r="E6" s="7" t="s">
        <v>17</v>
      </c>
      <c r="F6" s="8"/>
      <c r="G6" s="8"/>
      <c r="H6" s="9" t="s">
        <v>18</v>
      </c>
    </row>
    <row r="7" customFormat="false" ht="25.5" hidden="false" customHeight="true" outlineLevel="0" collapsed="false">
      <c r="A7" s="5"/>
      <c r="B7" s="5"/>
      <c r="C7" s="5" t="s">
        <v>19</v>
      </c>
      <c r="D7" s="6" t="s">
        <v>13</v>
      </c>
      <c r="E7" s="7" t="s">
        <v>20</v>
      </c>
      <c r="F7" s="8"/>
      <c r="G7" s="8"/>
      <c r="H7" s="9" t="s">
        <v>21</v>
      </c>
    </row>
    <row r="8" customFormat="false" ht="25.5" hidden="false" customHeight="true" outlineLevel="0" collapsed="false">
      <c r="A8" s="5"/>
      <c r="B8" s="5"/>
      <c r="C8" s="5" t="s">
        <v>22</v>
      </c>
      <c r="D8" s="6" t="s">
        <v>13</v>
      </c>
      <c r="E8" s="7" t="s">
        <v>17</v>
      </c>
      <c r="F8" s="8"/>
      <c r="G8" s="8"/>
      <c r="H8" s="9" t="s">
        <v>23</v>
      </c>
    </row>
    <row r="9" customFormat="false" ht="25.5" hidden="false" customHeight="true" outlineLevel="0" collapsed="false">
      <c r="A9" s="5"/>
      <c r="B9" s="5"/>
      <c r="C9" s="5" t="s">
        <v>24</v>
      </c>
      <c r="D9" s="6" t="s">
        <v>25</v>
      </c>
      <c r="E9" s="7" t="s">
        <v>14</v>
      </c>
      <c r="F9" s="8"/>
      <c r="G9" s="8"/>
      <c r="H9" s="9" t="s">
        <v>26</v>
      </c>
    </row>
    <row r="10" customFormat="false" ht="25.5" hidden="false" customHeight="true" outlineLevel="0" collapsed="false">
      <c r="A10" s="5"/>
      <c r="B10" s="5"/>
      <c r="C10" s="5" t="s">
        <v>27</v>
      </c>
      <c r="D10" s="6" t="s">
        <v>13</v>
      </c>
      <c r="E10" s="7" t="s">
        <v>14</v>
      </c>
      <c r="F10" s="8"/>
      <c r="G10" s="8"/>
      <c r="H10" s="9" t="s">
        <v>28</v>
      </c>
    </row>
    <row r="11" customFormat="false" ht="25.5" hidden="false" customHeight="true" outlineLevel="0" collapsed="false">
      <c r="A11" s="5"/>
      <c r="B11" s="5"/>
      <c r="C11" s="5" t="s">
        <v>29</v>
      </c>
      <c r="D11" s="6" t="s">
        <v>13</v>
      </c>
      <c r="E11" s="7" t="s">
        <v>14</v>
      </c>
      <c r="F11" s="8"/>
      <c r="G11" s="8"/>
      <c r="H11" s="9" t="s">
        <v>30</v>
      </c>
    </row>
    <row r="12" customFormat="false" ht="25.5" hidden="false" customHeight="true" outlineLevel="0" collapsed="false">
      <c r="A12" s="4" t="s">
        <v>31</v>
      </c>
      <c r="B12" s="5" t="s">
        <v>32</v>
      </c>
      <c r="C12" s="5" t="s">
        <v>33</v>
      </c>
      <c r="D12" s="10" t="s">
        <v>34</v>
      </c>
      <c r="E12" s="7" t="s">
        <v>20</v>
      </c>
      <c r="F12" s="8"/>
      <c r="G12" s="8"/>
      <c r="H12" s="9" t="s">
        <v>35</v>
      </c>
    </row>
    <row r="13" customFormat="false" ht="25.5" hidden="false" customHeight="true" outlineLevel="0" collapsed="false">
      <c r="A13" s="5"/>
      <c r="B13" s="5"/>
      <c r="C13" s="5" t="s">
        <v>36</v>
      </c>
      <c r="D13" s="10" t="s">
        <v>34</v>
      </c>
      <c r="E13" s="7" t="s">
        <v>20</v>
      </c>
      <c r="F13" s="8"/>
      <c r="G13" s="8"/>
      <c r="H13" s="9" t="s">
        <v>37</v>
      </c>
    </row>
    <row r="14" customFormat="false" ht="25.5" hidden="false" customHeight="true" outlineLevel="0" collapsed="false">
      <c r="A14" s="5"/>
      <c r="B14" s="5"/>
      <c r="C14" s="5" t="s">
        <v>38</v>
      </c>
      <c r="D14" s="6" t="s">
        <v>13</v>
      </c>
      <c r="E14" s="7" t="s">
        <v>17</v>
      </c>
      <c r="F14" s="8"/>
      <c r="G14" s="8"/>
      <c r="H14" s="9" t="s">
        <v>39</v>
      </c>
    </row>
    <row r="15" customFormat="false" ht="25.5" hidden="false" customHeight="true" outlineLevel="0" collapsed="false">
      <c r="A15" s="5"/>
      <c r="B15" s="5"/>
      <c r="C15" s="11" t="s">
        <v>40</v>
      </c>
      <c r="D15" s="12" t="s">
        <v>41</v>
      </c>
      <c r="E15" s="7" t="s">
        <v>17</v>
      </c>
      <c r="F15" s="8"/>
      <c r="G15" s="8"/>
      <c r="H15" s="9" t="s">
        <v>42</v>
      </c>
    </row>
    <row r="16" customFormat="false" ht="25.5" hidden="false" customHeight="true" outlineLevel="0" collapsed="false">
      <c r="A16" s="4" t="s">
        <v>43</v>
      </c>
      <c r="B16" s="5" t="s">
        <v>44</v>
      </c>
      <c r="C16" s="5" t="s">
        <v>45</v>
      </c>
      <c r="D16" s="6" t="s">
        <v>13</v>
      </c>
      <c r="E16" s="7" t="s">
        <v>17</v>
      </c>
      <c r="F16" s="8"/>
      <c r="G16" s="8"/>
      <c r="H16" s="9" t="s">
        <v>46</v>
      </c>
    </row>
    <row r="17" customFormat="false" ht="25.5" hidden="false" customHeight="true" outlineLevel="0" collapsed="false">
      <c r="A17" s="5"/>
      <c r="B17" s="5"/>
      <c r="C17" s="5" t="s">
        <v>47</v>
      </c>
      <c r="D17" s="6" t="s">
        <v>13</v>
      </c>
      <c r="E17" s="7" t="s">
        <v>20</v>
      </c>
      <c r="F17" s="8"/>
      <c r="G17" s="8"/>
      <c r="H17" s="9" t="s">
        <v>48</v>
      </c>
    </row>
    <row r="18" customFormat="false" ht="25.5" hidden="false" customHeight="true" outlineLevel="0" collapsed="false">
      <c r="A18" s="5"/>
      <c r="B18" s="5"/>
      <c r="C18" s="5" t="s">
        <v>49</v>
      </c>
      <c r="D18" s="6" t="s">
        <v>50</v>
      </c>
      <c r="E18" s="7" t="s">
        <v>14</v>
      </c>
      <c r="F18" s="8"/>
      <c r="G18" s="8"/>
      <c r="H18" s="9" t="s">
        <v>51</v>
      </c>
    </row>
    <row r="19" customFormat="false" ht="25.5" hidden="false" customHeight="true" outlineLevel="0" collapsed="false">
      <c r="A19" s="5"/>
      <c r="B19" s="5"/>
      <c r="C19" s="5" t="s">
        <v>52</v>
      </c>
      <c r="D19" s="6" t="s">
        <v>13</v>
      </c>
      <c r="E19" s="7" t="s">
        <v>20</v>
      </c>
      <c r="F19" s="8"/>
      <c r="G19" s="8"/>
      <c r="H19" s="9" t="s">
        <v>53</v>
      </c>
    </row>
    <row r="20" customFormat="false" ht="25.5" hidden="false" customHeight="true" outlineLevel="0" collapsed="false">
      <c r="A20" s="4" t="s">
        <v>54</v>
      </c>
      <c r="B20" s="5" t="s">
        <v>55</v>
      </c>
      <c r="C20" s="5" t="s">
        <v>56</v>
      </c>
      <c r="D20" s="6" t="s">
        <v>13</v>
      </c>
      <c r="E20" s="7" t="s">
        <v>17</v>
      </c>
      <c r="F20" s="8"/>
      <c r="G20" s="8"/>
      <c r="H20" s="9" t="s">
        <v>57</v>
      </c>
    </row>
    <row r="21" customFormat="false" ht="25.5" hidden="false" customHeight="true" outlineLevel="0" collapsed="false">
      <c r="A21" s="5"/>
      <c r="B21" s="5"/>
      <c r="C21" s="5" t="s">
        <v>58</v>
      </c>
      <c r="D21" s="6" t="s">
        <v>13</v>
      </c>
      <c r="E21" s="7" t="s">
        <v>20</v>
      </c>
      <c r="F21" s="8"/>
      <c r="G21" s="8"/>
      <c r="H21" s="9" t="s">
        <v>59</v>
      </c>
    </row>
    <row r="22" customFormat="false" ht="25.5" hidden="false" customHeight="true" outlineLevel="0" collapsed="false">
      <c r="A22" s="5"/>
      <c r="B22" s="5"/>
      <c r="C22" s="5" t="s">
        <v>60</v>
      </c>
      <c r="D22" s="6" t="s">
        <v>13</v>
      </c>
      <c r="E22" s="7" t="s">
        <v>17</v>
      </c>
      <c r="F22" s="8"/>
      <c r="G22" s="8"/>
      <c r="H22" s="9" t="s">
        <v>61</v>
      </c>
    </row>
    <row r="23" customFormat="false" ht="25.5" hidden="false" customHeight="true" outlineLevel="0" collapsed="false">
      <c r="A23" s="5"/>
      <c r="B23" s="5"/>
      <c r="C23" s="5" t="s">
        <v>62</v>
      </c>
      <c r="D23" s="6" t="s">
        <v>50</v>
      </c>
      <c r="E23" s="7" t="s">
        <v>14</v>
      </c>
      <c r="F23" s="8"/>
      <c r="G23" s="8"/>
      <c r="H23" s="9" t="s">
        <v>63</v>
      </c>
    </row>
    <row r="24" customFormat="false" ht="25.5" hidden="false" customHeight="true" outlineLevel="0" collapsed="false">
      <c r="A24" s="4" t="s">
        <v>64</v>
      </c>
      <c r="B24" s="5" t="s">
        <v>65</v>
      </c>
      <c r="C24" s="5" t="s">
        <v>66</v>
      </c>
      <c r="D24" s="6" t="s">
        <v>25</v>
      </c>
      <c r="E24" s="7" t="s">
        <v>14</v>
      </c>
      <c r="F24" s="8"/>
      <c r="G24" s="8"/>
      <c r="H24" s="9" t="s">
        <v>67</v>
      </c>
    </row>
    <row r="25" customFormat="false" ht="25.5" hidden="false" customHeight="true" outlineLevel="0" collapsed="false">
      <c r="A25" s="5"/>
      <c r="B25" s="5"/>
      <c r="C25" s="5" t="s">
        <v>68</v>
      </c>
      <c r="D25" s="6" t="s">
        <v>25</v>
      </c>
      <c r="E25" s="7" t="s">
        <v>14</v>
      </c>
      <c r="F25" s="8"/>
      <c r="G25" s="8"/>
      <c r="H25" s="9" t="s">
        <v>69</v>
      </c>
    </row>
    <row r="26" customFormat="false" ht="25.5" hidden="false" customHeight="true" outlineLevel="0" collapsed="false">
      <c r="A26" s="5"/>
      <c r="B26" s="5"/>
      <c r="C26" s="5" t="s">
        <v>70</v>
      </c>
      <c r="D26" s="12" t="s">
        <v>41</v>
      </c>
      <c r="E26" s="7" t="s">
        <v>17</v>
      </c>
      <c r="F26" s="8"/>
      <c r="G26" s="8"/>
      <c r="H26" s="9" t="s">
        <v>71</v>
      </c>
    </row>
    <row r="27" customFormat="false" ht="25.5" hidden="false" customHeight="true" outlineLevel="0" collapsed="false">
      <c r="A27" s="5"/>
      <c r="B27" s="5"/>
      <c r="C27" s="5" t="s">
        <v>72</v>
      </c>
      <c r="D27" s="12" t="s">
        <v>41</v>
      </c>
      <c r="E27" s="7" t="s">
        <v>17</v>
      </c>
      <c r="F27" s="8"/>
      <c r="G27" s="8"/>
      <c r="H27" s="9" t="s">
        <v>71</v>
      </c>
    </row>
    <row r="28" customFormat="false" ht="25.5" hidden="false" customHeight="true" outlineLevel="0" collapsed="false">
      <c r="A28" s="4" t="s">
        <v>73</v>
      </c>
      <c r="B28" s="5" t="s">
        <v>74</v>
      </c>
      <c r="C28" s="5" t="s">
        <v>75</v>
      </c>
      <c r="D28" s="6" t="s">
        <v>13</v>
      </c>
      <c r="E28" s="7" t="s">
        <v>17</v>
      </c>
      <c r="F28" s="8"/>
      <c r="G28" s="8"/>
      <c r="H28" s="9" t="s">
        <v>76</v>
      </c>
    </row>
    <row r="29" customFormat="false" ht="25.5" hidden="false" customHeight="true" outlineLevel="0" collapsed="false">
      <c r="A29" s="5"/>
      <c r="B29" s="5"/>
      <c r="C29" s="5" t="s">
        <v>77</v>
      </c>
      <c r="D29" s="6" t="s">
        <v>13</v>
      </c>
      <c r="E29" s="7" t="s">
        <v>14</v>
      </c>
      <c r="F29" s="8"/>
      <c r="G29" s="8"/>
      <c r="H29" s="9" t="s">
        <v>78</v>
      </c>
    </row>
    <row r="30" customFormat="false" ht="25.5" hidden="false" customHeight="true" outlineLevel="0" collapsed="false">
      <c r="A30" s="5"/>
      <c r="B30" s="5"/>
      <c r="C30" s="5" t="s">
        <v>79</v>
      </c>
      <c r="D30" s="6" t="s">
        <v>13</v>
      </c>
      <c r="E30" s="7" t="s">
        <v>20</v>
      </c>
      <c r="F30" s="8"/>
      <c r="G30" s="8"/>
      <c r="H30" s="9" t="s">
        <v>80</v>
      </c>
    </row>
    <row r="31" customFormat="false" ht="25.5" hidden="false" customHeight="true" outlineLevel="0" collapsed="false">
      <c r="A31" s="5"/>
      <c r="B31" s="5"/>
      <c r="C31" s="5" t="s">
        <v>81</v>
      </c>
      <c r="D31" s="12" t="s">
        <v>82</v>
      </c>
      <c r="E31" s="7" t="s">
        <v>14</v>
      </c>
      <c r="F31" s="8"/>
      <c r="G31" s="8"/>
      <c r="H31" s="9" t="s">
        <v>83</v>
      </c>
    </row>
    <row r="33" customFormat="false" ht="15" hidden="false" customHeight="false" outlineLevel="0" collapsed="false">
      <c r="A33" s="13" t="s">
        <v>84</v>
      </c>
      <c r="B33" s="13"/>
      <c r="C33" s="13"/>
      <c r="D33" s="13"/>
      <c r="E33" s="13"/>
      <c r="F33" s="13"/>
      <c r="G33" s="13"/>
      <c r="H33" s="13"/>
    </row>
    <row r="34" customFormat="false" ht="15" hidden="false" customHeight="false" outlineLevel="0" collapsed="false">
      <c r="A34" s="14" t="s">
        <v>85</v>
      </c>
      <c r="B34" s="14"/>
      <c r="C34" s="14"/>
      <c r="D34" s="14"/>
      <c r="E34" s="15" t="n">
        <f aca="false">COUNTA(C5:C31)-COUNTIF(D5:D31,"meta")-COUNTIF(D5:D31,"unbuilt")</f>
        <v>23</v>
      </c>
      <c r="F34" s="15"/>
      <c r="G34" s="15"/>
      <c r="H34" s="15"/>
    </row>
    <row r="35" customFormat="false" ht="15" hidden="false" customHeight="false" outlineLevel="0" collapsed="false">
      <c r="A35" s="14" t="s">
        <v>86</v>
      </c>
      <c r="B35" s="14"/>
      <c r="C35" s="14"/>
      <c r="D35" s="14"/>
      <c r="E35" s="15" t="n">
        <f aca="false">COUNTIFS(E5:E31,"Y",D5:D31,"retrieval*")+COUNTIFS(E5:E31,"Y",D5:D31,"structural*")</f>
        <v>7</v>
      </c>
      <c r="F35" s="15"/>
      <c r="G35" s="15"/>
      <c r="H35" s="15"/>
    </row>
    <row r="36" customFormat="false" ht="15" hidden="false" customHeight="false" outlineLevel="0" collapsed="false">
      <c r="A36" s="14" t="s">
        <v>87</v>
      </c>
      <c r="B36" s="14"/>
      <c r="C36" s="14"/>
      <c r="D36" s="14"/>
      <c r="E36" s="15" t="n">
        <f aca="false">COUNTIFS(E5:E31,"P",D5:D31,"retrieval*")+COUNTIFS(E5:E31,"P",D5:D31,"structural*")</f>
        <v>7</v>
      </c>
      <c r="F36" s="15"/>
      <c r="G36" s="15"/>
      <c r="H36" s="15"/>
    </row>
    <row r="37" customFormat="false" ht="15" hidden="false" customHeight="false" outlineLevel="0" collapsed="false">
      <c r="A37" s="14" t="s">
        <v>88</v>
      </c>
      <c r="B37" s="14"/>
      <c r="C37" s="14"/>
      <c r="D37" s="14"/>
      <c r="E37" s="15" t="n">
        <f aca="false">COUNTIFS(E5:E31,"N",D5:D31,"retrieval*")+COUNTIFS(E5:E31,"N",D5:D31,"structural*")</f>
        <v>9</v>
      </c>
      <c r="F37" s="15"/>
      <c r="G37" s="15"/>
      <c r="H37" s="15"/>
    </row>
    <row r="38" customFormat="false" ht="15" hidden="false" customHeight="false" outlineLevel="0" collapsed="false">
      <c r="A38" s="14" t="s">
        <v>89</v>
      </c>
      <c r="B38" s="14"/>
      <c r="C38" s="14"/>
      <c r="D38" s="14"/>
      <c r="E38" s="15" t="n">
        <f aca="false">COUNTIFS(E5:E31,"N",D5:D31,"retrieval*")</f>
        <v>9</v>
      </c>
      <c r="F38" s="15"/>
      <c r="G38" s="15"/>
      <c r="H38" s="15"/>
    </row>
    <row r="39" customFormat="false" ht="15" hidden="false" customHeight="false" outlineLevel="0" collapsed="false">
      <c r="A39" s="14" t="s">
        <v>90</v>
      </c>
      <c r="B39" s="14"/>
      <c r="C39" s="14"/>
      <c r="D39" s="14"/>
      <c r="E39" s="15" t="str">
        <f aca="false">IF(COUNTIFS(C5:C31,"ATTRIBUTION*",E5:E31,"Y")&gt;0,"PASS","FAIL")</f>
        <v>PASS</v>
      </c>
      <c r="F39" s="15"/>
      <c r="G39" s="15"/>
      <c r="H39" s="15"/>
    </row>
    <row r="41" customFormat="false" ht="15" hidden="false" customHeight="false" outlineLevel="0" collapsed="false">
      <c r="A41" s="16" t="s">
        <v>91</v>
      </c>
    </row>
    <row r="42" customFormat="false" ht="19.5" hidden="false" customHeight="true" outlineLevel="0" collapsed="false">
      <c r="A42" s="17" t="s">
        <v>25</v>
      </c>
      <c r="B42" s="17"/>
      <c r="C42" s="9" t="s">
        <v>92</v>
      </c>
      <c r="D42" s="9"/>
      <c r="E42" s="9"/>
      <c r="F42" s="9"/>
      <c r="G42" s="9"/>
      <c r="H42" s="9"/>
    </row>
    <row r="43" customFormat="false" ht="19.5" hidden="false" customHeight="true" outlineLevel="0" collapsed="false">
      <c r="A43" s="18" t="s">
        <v>34</v>
      </c>
      <c r="B43" s="18"/>
      <c r="C43" s="9" t="s">
        <v>93</v>
      </c>
      <c r="D43" s="9"/>
      <c r="E43" s="9"/>
      <c r="F43" s="9"/>
      <c r="G43" s="9"/>
      <c r="H43" s="9"/>
    </row>
    <row r="44" customFormat="false" ht="19.5" hidden="false" customHeight="true" outlineLevel="0" collapsed="false">
      <c r="A44" s="17" t="s">
        <v>50</v>
      </c>
      <c r="B44" s="17"/>
      <c r="C44" s="9" t="s">
        <v>94</v>
      </c>
      <c r="D44" s="9"/>
      <c r="E44" s="9"/>
      <c r="F44" s="9"/>
      <c r="G44" s="9"/>
      <c r="H44" s="9"/>
    </row>
    <row r="45" customFormat="false" ht="19.5" hidden="false" customHeight="true" outlineLevel="0" collapsed="false">
      <c r="A45" s="19" t="s">
        <v>82</v>
      </c>
      <c r="B45" s="19"/>
      <c r="C45" s="9" t="s">
        <v>95</v>
      </c>
      <c r="D45" s="9"/>
      <c r="E45" s="9"/>
      <c r="F45" s="9"/>
      <c r="G45" s="9"/>
      <c r="H45" s="9"/>
    </row>
    <row r="46" customFormat="false" ht="19.5" hidden="false" customHeight="true" outlineLevel="0" collapsed="false">
      <c r="A46" s="17" t="s">
        <v>13</v>
      </c>
      <c r="B46" s="17"/>
      <c r="C46" s="9" t="s">
        <v>96</v>
      </c>
      <c r="D46" s="9"/>
      <c r="E46" s="9"/>
      <c r="F46" s="9"/>
      <c r="G46" s="9"/>
      <c r="H46" s="9"/>
    </row>
    <row r="47" customFormat="false" ht="19.5" hidden="false" customHeight="true" outlineLevel="0" collapsed="false">
      <c r="A47" s="19" t="s">
        <v>41</v>
      </c>
      <c r="B47" s="19"/>
      <c r="C47" s="9" t="s">
        <v>97</v>
      </c>
      <c r="D47" s="9"/>
      <c r="E47" s="9"/>
      <c r="F47" s="9"/>
      <c r="G47" s="9"/>
      <c r="H47" s="9"/>
    </row>
  </sheetData>
  <mergeCells count="27">
    <mergeCell ref="A1:H1"/>
    <mergeCell ref="A2:H2"/>
    <mergeCell ref="A33:H33"/>
    <mergeCell ref="A34:D34"/>
    <mergeCell ref="E34:H34"/>
    <mergeCell ref="A35:D35"/>
    <mergeCell ref="E35:H35"/>
    <mergeCell ref="A36:D36"/>
    <mergeCell ref="E36:H36"/>
    <mergeCell ref="A37:D37"/>
    <mergeCell ref="E37:H37"/>
    <mergeCell ref="A38:D38"/>
    <mergeCell ref="E38:H38"/>
    <mergeCell ref="A39:D39"/>
    <mergeCell ref="E39:H39"/>
    <mergeCell ref="A42:B42"/>
    <mergeCell ref="C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7:B47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2026-07-31T07:56:01Z</dcterms:created>
  <dc:creator>openpyxl</dc:creator>
  <dc:description/>
  <dc:language>en-US</dc:language>
  <cp:lastModifiedBy/>
  <dcterms:modified xsi:type="dcterms:W3CDTF">2026-07-31T07:56:01Z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